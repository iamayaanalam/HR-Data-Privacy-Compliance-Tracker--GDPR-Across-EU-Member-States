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OneDrive\Desktop\"/>
    </mc:Choice>
  </mc:AlternateContent>
  <xr:revisionPtr revIDLastSave="0" documentId="13_ncr:1_{19DB07BE-5784-46EE-9C40-B8006AD4F338}" xr6:coauthVersionLast="47" xr6:coauthVersionMax="47" xr10:uidLastSave="{00000000-0000-0000-0000-000000000000}"/>
  <bookViews>
    <workbookView xWindow="-120" yWindow="-120" windowWidth="29040" windowHeight="15720" xr2:uid="{766ED309-CB77-4C3A-85CD-C2894C4406C1}"/>
  </bookViews>
  <sheets>
    <sheet name="Country Regulation Matrix " sheetId="1" r:id="rId1"/>
    <sheet name="Compliance Risk Score" sheetId="2" r:id="rId2"/>
    <sheet name="PowerBI Long Forma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2" l="1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3" i="2"/>
  <c r="G3" i="2" s="1"/>
</calcChain>
</file>

<file path=xl/sharedStrings.xml><?xml version="1.0" encoding="utf-8"?>
<sst xmlns="http://schemas.openxmlformats.org/spreadsheetml/2006/main" count="202" uniqueCount="134">
  <si>
    <t>Country</t>
  </si>
  <si>
    <t>Data Category</t>
  </si>
  <si>
    <t>Legal Basis</t>
  </si>
  <si>
    <t>Retention Period</t>
  </si>
  <si>
    <t>Special Category?</t>
  </si>
  <si>
    <t>Consent Valid?</t>
  </si>
  <si>
    <t>Local Derogation</t>
  </si>
  <si>
    <t>Source/Citation</t>
  </si>
  <si>
    <t>Germany</t>
  </si>
  <si>
    <t>Biometric (clock-in)</t>
  </si>
  <si>
    <t>Art. 9(2)(b) — necessity for employment obligations</t>
  </si>
  <si>
    <t>Not specified in case; generally employment duration</t>
  </si>
  <si>
    <t>Yes (Art. 9)</t>
  </si>
  <si>
    <t>No — weak/revocable, power imbalance</t>
  </si>
  <si>
    <t>BDSG §26 + case law (Berlin courts); new Employee Data Act drafted Oct 2024</t>
  </si>
  <si>
    <t>Lexology, LAG Berlin-Brandenburg June 2020</t>
  </si>
  <si>
    <t>Netherlands</t>
  </si>
  <si>
    <t>Art. 9(2) — none applied; no valid exception found</t>
  </si>
  <si>
    <t>2017–2019 (case period)</t>
  </si>
  <si>
    <t>No — consent not freely given</t>
  </si>
  <si>
    <t>Dutch GDPR Implementation Act Art. 29 — biometric only allowed for authentication/security necessity</t>
  </si>
  <si>
    <t>€725,000 fine, Dutch DPA (Autoriteit Persoonsgegevens)</t>
  </si>
  <si>
    <t>France</t>
  </si>
  <si>
    <t>Art. 9(4) — French national derogation via CNIL Model Regulation</t>
  </si>
  <si>
    <t>Defined per CNIL Model Regulation (varies by case)</t>
  </si>
  <si>
    <t>Not primary basis — CNIL pre-authorization required instead</t>
  </si>
  <si>
    <t>€10,000 fine, Assistance Centre d'Appel, CNIL 2018</t>
  </si>
  <si>
    <t>Employee monitoring</t>
  </si>
  <si>
    <t>Art. 5(1)(c) data minimisation + Art. 6 legitimate interest (failed)</t>
  </si>
  <si>
    <t>Not specified</t>
  </si>
  <si>
    <t>No (commercial/productivity data)</t>
  </si>
  <si>
    <t>N/A — legitimate interest claimed, rejected</t>
  </si>
  <si>
    <t>CNIL ruled granular scanner metrics excessive vs business need</t>
  </si>
  <si>
    <t>Amazon France, CNIL (decision under appeal)</t>
  </si>
  <si>
    <t>Ireland</t>
  </si>
  <si>
    <t>Art. 6 legitimate interest (primary) + DPIA/LIA required</t>
  </si>
  <si>
    <t>Least time necessary (storage limitation)</t>
  </si>
  <si>
    <t>No (unless health-related monitoring)</t>
  </si>
  <si>
    <t>Not primary basis</t>
  </si>
  <si>
    <t>No major HR-specific derogation; EU AI Act now classifies AI monitoring as "high-risk"</t>
  </si>
  <si>
    <t>DPC Workplace Guidance 2023; EDPB has overturned 7/8 DPC decisions on review</t>
  </si>
  <si>
    <t>Unique: requires PRIOR CNIL approval before deployment — only granted in exceptional cases; mandatory DPIA every 3 years</t>
  </si>
  <si>
    <t>Health/Sickness data</t>
  </si>
  <si>
    <t>Art. 9 — processing barred except via occupational health service</t>
  </si>
  <si>
    <t>Only duration/limitations needed for work planning; no diagnosis ever</t>
  </si>
  <si>
    <r>
      <t>No — explicitly invalid even with consent</t>
    </r>
    <r>
      <rPr>
        <sz val="11"/>
        <color theme="1"/>
        <rFont val="Calibri"/>
        <family val="2"/>
        <scheme val="minor"/>
      </rPr>
      <t>, due to financial dependence</t>
    </r>
  </si>
  <si>
    <t>Strict "gatekeeper" system: only company doctor can hold medical details; employer gets non-medical summary only</t>
  </si>
  <si>
    <t>€15,000 fine (reduced from €1M+), CP&amp;A, Dutch DPA</t>
  </si>
  <si>
    <t>Spain</t>
  </si>
  <si>
    <t>Recruitment (background checks)</t>
  </si>
  <si>
    <t>Specific law required for criminal data — NOT consent or legitimate interest</t>
  </si>
  <si>
    <t>Per role/case; tied to specific legal authorization</t>
  </si>
  <si>
    <t>Criminal record data = sensitive, heavily restricted</t>
  </si>
  <si>
    <t>Limited — legitimate interest explicitly rejected by AEPD for criminal checks</t>
  </si>
  <si>
    <t>LOPDGDD (Organic Law 3/2018) adds stricter proportionality on top of GDPR; polygraph tests banned outright</t>
  </si>
  <si>
    <t>€2,000,000 fine, global retailer, AEPD</t>
  </si>
  <si>
    <t>Poland</t>
  </si>
  <si>
    <t>Candidate consent (voluntary, no penalty for refusal)</t>
  </si>
  <si>
    <t>Not specified — tied to active recruitment process</t>
  </si>
  <si>
    <t>Criminal record = restricted, needs explicit legal authorization</t>
  </si>
  <si>
    <t>Yes, but must be genuinely free — UODO watches for indirect penalization of refusal</t>
  </si>
  <si>
    <t>No independent criminal record verification without explicit legal right; direct-from-candidate sourcing principle</t>
  </si>
  <si>
    <t>UODO guidance; Polish Labour Code + Civil Code + GDPR triple liability</t>
  </si>
  <si>
    <t>Italy</t>
  </si>
  <si>
    <t>Performance &amp; disciplinary records</t>
  </si>
  <si>
    <t>Art. 6(1)(f) legitimate interest — failed balancing test</t>
  </si>
  <si>
    <t>N/A (case-based)</t>
  </si>
  <si>
    <t>No (unless content reveals special category data incidentally)</t>
  </si>
  <si>
    <t>N/A — issue was scope/purpose, not consent</t>
  </si>
  <si>
    <t>€420,000 fine, May 2025, Garante (WhatsApp messages case)</t>
  </si>
  <si>
    <t>Sweden</t>
  </si>
  <si>
    <t>Legitimate interest, subject to strict dignity + transparency test</t>
  </si>
  <si>
    <t>Not specified — tied to "predictable, specific" notice requirement</t>
  </si>
  <si>
    <t>No (general monitoring); higher bar if health-adjacent</t>
  </si>
  <si>
    <t>N/A — covert monitoring banned regardless of consent</t>
  </si>
  <si>
    <t>No codified numeric retention rule found, but covert monitoring is banned outright (stricter than most EU peers)</t>
  </si>
  <si>
    <t>IMY guidance (no major fine case identified — flag as "guidance-led, low fine-volume" jurisdiction)</t>
  </si>
  <si>
    <t>Payroll/Financial data</t>
  </si>
  <si>
    <t>Tax law (separate from GDPR) + Art. 5(1)(e) storage limitation</t>
  </si>
  <si>
    <t>No</t>
  </si>
  <si>
    <t>N/A — legal/contractual basis, not consent</t>
  </si>
  <si>
    <t>Dutch tax law overrides GDPR's shorter default where financial records are concerned</t>
  </si>
  <si>
    <t>Dutch DPA (AP) guidelines + Dutch Tax Administration rules</t>
  </si>
  <si>
    <t>Recruitment data</t>
  </si>
  <si>
    <t>AGG (General Equal Treatment Act) + BDSG §26</t>
  </si>
  <si>
    <t>Weak — power imbalance; only relevant for extension beyond 6 months</t>
  </si>
  <si>
    <t>Specific 6-month cap unique to Germany; tied to discrimination-claim window, not GDPR directly</t>
  </si>
  <si>
    <t>German Equal Treatment Act (AGG); Taylor Wessing legal guidance</t>
  </si>
  <si>
    <t>Data Type</t>
  </si>
  <si>
    <t>Rejected applicant data</t>
  </si>
  <si>
    <t>6 months</t>
  </si>
  <si>
    <t>General personnel file</t>
  </si>
  <si>
    <t>2 years</t>
  </si>
  <si>
    <t>Email metadata (Garante guideline)</t>
  </si>
  <si>
    <t>21 days</t>
  </si>
  <si>
    <t>Payroll/tax records</t>
  </si>
  <si>
    <t>7 years</t>
  </si>
  <si>
    <t>Derogation Complexity (1-5)</t>
  </si>
  <si>
    <t>Documentation Burden (1-5)</t>
  </si>
  <si>
    <t>Notes from your data</t>
  </si>
  <si>
    <t>Enforcement Strictness (1-5)</t>
  </si>
  <si>
    <t>2 real fines, strictest "no consent override" rule found</t>
  </si>
  <si>
    <t>Pre-approval licensing (unique), Amazon case, CNIL most active</t>
  </si>
  <si>
    <t>€420k recent fine, specific 21-day metadata rule</t>
  </si>
  <si>
    <t>Court-led (reactive), 6-month applicant cap, new Employee Data Act drafted</t>
  </si>
  <si>
    <t>€2M fine, dual law (LOPDGDD), but legitimate interest path exists</t>
  </si>
  <si>
    <t>Guidance-based, no major fine found yet in your research</t>
  </si>
  <si>
    <t>Strict principles (dignity test) but no fine found — guidance-led</t>
  </si>
  <si>
    <t>No HR-specific fines found; DPC focus is on Big Tech, not employee data</t>
  </si>
  <si>
    <t>Compliance Risk Score</t>
  </si>
  <si>
    <t>Risk Label Column</t>
  </si>
  <si>
    <t>Category</t>
  </si>
  <si>
    <t>Netherlands Rule</t>
  </si>
  <si>
    <t>Biometric</t>
  </si>
  <si>
    <t>Consent essentially never valid; €725,000 fine precedent</t>
  </si>
  <si>
    <t>Health/Sickness</t>
  </si>
  <si>
    <t>Consent explicitly invalid even if freely offered; strict third-party gatekeeper system; up to €1M+ fines reduced only for company solvency</t>
  </si>
  <si>
    <t>Risk Score</t>
  </si>
  <si>
    <t>Risk Label</t>
  </si>
  <si>
    <t>Has Real Fine</t>
  </si>
  <si>
    <t>Employee Monitoring</t>
  </si>
  <si>
    <t>Health Sickness</t>
  </si>
  <si>
    <t>Recruitment</t>
  </si>
  <si>
    <t>Performance Disciplinary</t>
  </si>
  <si>
    <t>Payroll Financial</t>
  </si>
  <si>
    <t>High</t>
  </si>
  <si>
    <t>Critical</t>
  </si>
  <si>
    <t>Low</t>
  </si>
  <si>
    <t>Moderate</t>
  </si>
  <si>
    <t>Yes</t>
  </si>
  <si>
    <t>Italian Privacy Code Art. 113 (+ Workers' Statute Art. 8) bars using off-duty personal content unrelated to job performance in disciplinary action; max 21-day metadata retention per Garante guidelines</t>
  </si>
  <si>
    <t>6 months max for rejected applicants (extendable only with explicit consent)</t>
  </si>
  <si>
    <t>2 years (general personnel file) / 7 years (wage tax &amp; salary records) — dual retention regime</t>
  </si>
  <si>
    <t>Fine Amount (in 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</si>
</sst>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rgb="FF1418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18" fontId="0" fillId="0" borderId="0" xfId="0" applyNumberFormat="1"/>
    <xf numFmtId="0" fontId="2" fillId="0" borderId="0" xfId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64" fontId="5" fillId="2" borderId="1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295275</xdr:colOff>
      <xdr:row>1</xdr:row>
      <xdr:rowOff>19051</xdr:rowOff>
    </xdr:from>
    <xdr:to>
      <xdr:col>17</xdr:col>
      <xdr:colOff>590550</xdr:colOff>
      <xdr:row>2</xdr:row>
      <xdr:rowOff>723901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CBA29A-19CA-A09E-1B8A-9DB478ECBE09}"/>
            </a:ext>
          </a:extLst>
        </xdr:cNvPr>
        <xdr:cNvSpPr txBox="1"/>
      </xdr:nvSpPr>
      <xdr:spPr>
        <a:xfrm>
          <a:off x="9686925" y="209551"/>
          <a:ext cx="5781675" cy="8953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What happened:</a:t>
          </a:r>
        </a:p>
        <a:p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A radiology practice required an employee to use fingerprint scanning to record working hours. The employee refused and sued, claiming his personal rights were violated. The court ruled fingerprint-based time recording unlawful in this case — the employer could have used a less invasive ID card system instead.</a:t>
          </a:r>
        </a:p>
      </xdr:txBody>
    </xdr:sp>
    <xdr:clientData/>
  </xdr:twoCellAnchor>
  <xdr:twoCellAnchor>
    <xdr:from>
      <xdr:col>8</xdr:col>
      <xdr:colOff>304800</xdr:colOff>
      <xdr:row>3</xdr:row>
      <xdr:rowOff>228599</xdr:rowOff>
    </xdr:from>
    <xdr:to>
      <xdr:col>17</xdr:col>
      <xdr:colOff>600075</xdr:colOff>
      <xdr:row>3</xdr:row>
      <xdr:rowOff>1000125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A562DE-A822-BB4C-A6AA-8D96A2696AB0}"/>
            </a:ext>
          </a:extLst>
        </xdr:cNvPr>
        <xdr:cNvSpPr txBox="1"/>
      </xdr:nvSpPr>
      <xdr:spPr>
        <a:xfrm>
          <a:off x="9696450" y="1371599"/>
          <a:ext cx="5781675" cy="77152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latin typeface="Times New Roman" panose="02020603050405020304" pitchFamily="18" charset="0"/>
              <a:cs typeface="Times New Roman" panose="02020603050405020304" pitchFamily="18" charset="0"/>
            </a:rPr>
            <a:t>What happened:</a:t>
          </a:r>
        </a:p>
        <a:p>
          <a:r>
            <a:rPr lang="en-IN" sz="1100">
              <a:latin typeface="Times New Roman" panose="02020603050405020304" pitchFamily="18" charset="0"/>
              <a:cs typeface="Times New Roman" panose="02020603050405020304" pitchFamily="18" charset="0"/>
            </a:rPr>
            <a:t>Company used fingerprint scans for employee attendance/time tracking from 2017–2019. The Dutch DPA ruled this unlawful because it wasn't necessary for security/authentication, and employees hadn't given valid explicit consent.</a:t>
          </a:r>
        </a:p>
      </xdr:txBody>
    </xdr:sp>
    <xdr:clientData/>
  </xdr:twoCellAnchor>
  <xdr:twoCellAnchor>
    <xdr:from>
      <xdr:col>8</xdr:col>
      <xdr:colOff>295275</xdr:colOff>
      <xdr:row>4</xdr:row>
      <xdr:rowOff>28575</xdr:rowOff>
    </xdr:from>
    <xdr:to>
      <xdr:col>18</xdr:col>
      <xdr:colOff>9525</xdr:colOff>
      <xdr:row>4</xdr:row>
      <xdr:rowOff>990600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65D5FC-A624-CB29-3CAC-B97AC647238C}"/>
            </a:ext>
          </a:extLst>
        </xdr:cNvPr>
        <xdr:cNvSpPr txBox="1"/>
      </xdr:nvSpPr>
      <xdr:spPr>
        <a:xfrm>
          <a:off x="9686925" y="2314575"/>
          <a:ext cx="5810250" cy="962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Unique French rule: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In France, an employer may NOT use biometric data to monitor employee hours without prior approval from CNIL — and CNIL only grants this in exceptional circumstances.</a:t>
          </a:r>
          <a:r>
            <a:rPr lang="en-IN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This prior-authorization requirement is </a:t>
          </a:r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unique to France</a:t>
          </a:r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 — Germany and Netherlands don't require pre-approval, they assess lawfulness after the fact (court/DPA review)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295275</xdr:colOff>
      <xdr:row>5</xdr:row>
      <xdr:rowOff>0</xdr:rowOff>
    </xdr:from>
    <xdr:to>
      <xdr:col>18</xdr:col>
      <xdr:colOff>9525</xdr:colOff>
      <xdr:row>5</xdr:row>
      <xdr:rowOff>914400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A8CDB6-69D7-765C-1C53-CCCC62ED9FB5}"/>
            </a:ext>
          </a:extLst>
        </xdr:cNvPr>
        <xdr:cNvSpPr txBox="1"/>
      </xdr:nvSpPr>
      <xdr:spPr>
        <a:xfrm>
          <a:off x="9686925" y="3619500"/>
          <a:ext cx="5810250" cy="914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What happened: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CNIL found Amazon's warehouse scanner monitoring violated GDPR through three specific tracking indicators: a "stow machine-gun" indicator flagging when an employee scanned an item faster than 1.25 seconds after the previous one, an "idle-time" indicator flagging 10+ minute scanner downtime, and a "latency" indicator flagging 1-10 minute interruptions.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295275</xdr:colOff>
      <xdr:row>6</xdr:row>
      <xdr:rowOff>66674</xdr:rowOff>
    </xdr:from>
    <xdr:to>
      <xdr:col>17</xdr:col>
      <xdr:colOff>600075</xdr:colOff>
      <xdr:row>6</xdr:row>
      <xdr:rowOff>790575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0F18E79-0D1A-AEB6-859D-9F2823A32501}"/>
            </a:ext>
          </a:extLst>
        </xdr:cNvPr>
        <xdr:cNvSpPr txBox="1"/>
      </xdr:nvSpPr>
      <xdr:spPr>
        <a:xfrm>
          <a:off x="9686925" y="4829174"/>
          <a:ext cx="5791200" cy="72390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Key DPC rule: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Covert monitoring (keystroke logging, "tattleware") without an employee's knowledge is "generally unlawful" and should be avoided — only permitted case-by-case when data is kept to prevent, detect, or investigate offences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304801</xdr:colOff>
      <xdr:row>7</xdr:row>
      <xdr:rowOff>19050</xdr:rowOff>
    </xdr:from>
    <xdr:to>
      <xdr:col>23</xdr:col>
      <xdr:colOff>371475</xdr:colOff>
      <xdr:row>8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0280426-6EA9-9D44-053E-37321CFB580D}"/>
            </a:ext>
          </a:extLst>
        </xdr:cNvPr>
        <xdr:cNvSpPr txBox="1"/>
      </xdr:nvSpPr>
      <xdr:spPr>
        <a:xfrm>
          <a:off x="9696451" y="5924550"/>
          <a:ext cx="9210674" cy="11239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Violation 1: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CP&amp;A kept a register recording the nature and cause of employee illness — info employers are legally barred from collecting; only the company doctor/occupational health service may handle that</a:t>
          </a:r>
          <a:r>
            <a:rPr lang="en-IN" baseline="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en-IN" baseline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Violation 2: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CP&amp;A's sick leave register was accessible online without proper authentication — health data requires multi-factor authentication, not just username/password.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295275</xdr:colOff>
      <xdr:row>8</xdr:row>
      <xdr:rowOff>295275</xdr:rowOff>
    </xdr:from>
    <xdr:to>
      <xdr:col>18</xdr:col>
      <xdr:colOff>9524</xdr:colOff>
      <xdr:row>8</xdr:row>
      <xdr:rowOff>923925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BD70F8-B482-3E9A-BE91-796D60766BF7}"/>
            </a:ext>
          </a:extLst>
        </xdr:cNvPr>
        <xdr:cNvSpPr txBox="1"/>
      </xdr:nvSpPr>
      <xdr:spPr>
        <a:xfrm>
          <a:off x="9686925" y="7343775"/>
          <a:ext cx="5810249" cy="6286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What happened: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The company required delivery driver candidates to provide a "certificate of good conduct" (criminal record check) even though it wasn't legally required for that role.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342900</xdr:colOff>
      <xdr:row>10</xdr:row>
      <xdr:rowOff>142875</xdr:rowOff>
    </xdr:from>
    <xdr:to>
      <xdr:col>17</xdr:col>
      <xdr:colOff>600075</xdr:colOff>
      <xdr:row>10</xdr:row>
      <xdr:rowOff>819150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77B7A91-1D85-B680-9546-C3D272F15D97}"/>
            </a:ext>
          </a:extLst>
        </xdr:cNvPr>
        <xdr:cNvSpPr txBox="1"/>
      </xdr:nvSpPr>
      <xdr:spPr>
        <a:xfrm>
          <a:off x="9734550" y="9763125"/>
          <a:ext cx="5743575" cy="6762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What happened: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An employee's WhatsApp messages, voluntarily forwarded to management by co-workers, were used by the employer as grounds for disciplinary action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352425</xdr:colOff>
      <xdr:row>11</xdr:row>
      <xdr:rowOff>76200</xdr:rowOff>
    </xdr:from>
    <xdr:to>
      <xdr:col>18</xdr:col>
      <xdr:colOff>38100</xdr:colOff>
      <xdr:row>11</xdr:row>
      <xdr:rowOff>828675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FC2F2F-FDE2-30D7-6B8C-ED49CCEBA284}"/>
            </a:ext>
          </a:extLst>
        </xdr:cNvPr>
        <xdr:cNvSpPr txBox="1"/>
      </xdr:nvSpPr>
      <xdr:spPr>
        <a:xfrm>
          <a:off x="9744075" y="11791950"/>
          <a:ext cx="5781675" cy="7524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Core principle:</a:t>
          </a:r>
        </a:p>
        <a:p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Sweden has one of the strictest transparency expectations in the EU — IMY requires employers to give concrete, specific, and predictable notice about monitoring; generic information is not sufficient.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590550</xdr:colOff>
      <xdr:row>22</xdr:row>
      <xdr:rowOff>9525</xdr:rowOff>
    </xdr:from>
    <xdr:to>
      <xdr:col>6</xdr:col>
      <xdr:colOff>476250</xdr:colOff>
      <xdr:row>25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9DDF67-9CF6-55E1-F586-A74B70DEC4A7}"/>
            </a:ext>
          </a:extLst>
        </xdr:cNvPr>
        <xdr:cNvSpPr txBox="1"/>
      </xdr:nvSpPr>
      <xdr:spPr>
        <a:xfrm>
          <a:off x="2457450" y="16944975"/>
          <a:ext cx="4752975" cy="6477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Strong Cross-Cutting Finding:</a:t>
          </a:r>
        </a:p>
        <a:p>
          <a:r>
            <a:rPr lang="en-IN" b="1">
              <a:latin typeface="Times New Roman" panose="02020603050405020304" pitchFamily="18" charset="0"/>
              <a:cs typeface="Times New Roman" panose="02020603050405020304" pitchFamily="18" charset="0"/>
            </a:rPr>
            <a:t>Retention period is the most numerically comparable metric in your whole matrix</a:t>
          </a:r>
          <a:r>
            <a:rPr lang="en-IN">
              <a:latin typeface="Times New Roman" panose="02020603050405020304" pitchFamily="18" charset="0"/>
              <a:cs typeface="Times New Roman" panose="02020603050405020304" pitchFamily="18" charset="0"/>
            </a:rPr>
            <a:t> — and you now have 4 concrete numbers to compare directly.</a:t>
          </a:r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333375</xdr:colOff>
      <xdr:row>10</xdr:row>
      <xdr:rowOff>1085851</xdr:rowOff>
    </xdr:from>
    <xdr:to>
      <xdr:col>18</xdr:col>
      <xdr:colOff>0</xdr:colOff>
      <xdr:row>10</xdr:row>
      <xdr:rowOff>1857375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4509659-B6FF-31A3-65DE-F41518A02BBE}"/>
            </a:ext>
          </a:extLst>
        </xdr:cNvPr>
        <xdr:cNvSpPr txBox="1"/>
      </xdr:nvSpPr>
      <xdr:spPr>
        <a:xfrm>
          <a:off x="9725025" y="10706101"/>
          <a:ext cx="5762625" cy="77152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Italy and Sweden share a "dignity/proportionality" philosophy that's stricter than most other countries' transparency-only approach.</a:t>
          </a:r>
          <a:r>
            <a:rPr lang="en-IN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Italy explicitly bans using off-duty personal content in discipline; Sweden bans anything that creates "a sense of constant oversight." Compare this to Ireland, which only requires general legitimate-interest balancing — a noticeably softer standard.</a:t>
          </a:r>
        </a:p>
        <a:p>
          <a:endParaRPr lang="en-IN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104775</xdr:colOff>
      <xdr:row>31</xdr:row>
      <xdr:rowOff>76200</xdr:rowOff>
    </xdr:from>
    <xdr:to>
      <xdr:col>6</xdr:col>
      <xdr:colOff>9525</xdr:colOff>
      <xdr:row>33</xdr:row>
      <xdr:rowOff>142875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281EB92-135A-C24B-D743-0E69F2793322}"/>
            </a:ext>
          </a:extLst>
        </xdr:cNvPr>
        <xdr:cNvSpPr txBox="1"/>
      </xdr:nvSpPr>
      <xdr:spPr>
        <a:xfrm>
          <a:off x="1971675" y="20154900"/>
          <a:ext cx="4772025" cy="4476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Netherlands is now your strictest country across BOTH special categories tracked (biometric AND health).</a:t>
          </a:r>
          <a:r>
            <a:rPr lang="en-IN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This is a genuinely strong, citable finding:</a:t>
          </a:r>
        </a:p>
        <a:p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A5D60-F9D6-4288-A3AC-F454D1EE3E54}" name="Table1" displayName="Table1" ref="A2:H14" totalsRowShown="0" headerRowDxfId="9" dataDxfId="8">
  <tableColumns count="8">
    <tableColumn id="1" xr3:uid="{0F10036C-5F77-4DE9-B8EC-AAE76DAFE35E}" name="Country" dataDxfId="7"/>
    <tableColumn id="2" xr3:uid="{A02B2092-61B3-411A-BD78-9CE45FE4F0A1}" name="Data Category" dataDxfId="6"/>
    <tableColumn id="3" xr3:uid="{2BFB1507-F80D-4BC4-9193-10809E846E94}" name="Legal Basis" dataDxfId="5"/>
    <tableColumn id="4" xr3:uid="{3B729BA0-9482-4C25-8ED9-7CE8D3284D23}" name="Retention Period" dataDxfId="4"/>
    <tableColumn id="5" xr3:uid="{5FAE2E9C-5407-4175-8E24-3285B90B76B0}" name="Special Category?" dataDxfId="3"/>
    <tableColumn id="6" xr3:uid="{A4CECFFB-A473-47CB-BEB5-F980FDAFF13B}" name="Consent Valid?" dataDxfId="2"/>
    <tableColumn id="7" xr3:uid="{F726B68C-2EF5-4B85-8F06-77EB5DBC318F}" name="Local Derogation" dataDxfId="1"/>
    <tableColumn id="8" xr3:uid="{62A38DB8-DE76-44BB-B022-09E9A04AE6B4}" name="Source/Cit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1691-5378-4A8B-9469-48ACDD50610A}">
  <dimension ref="A2:H219"/>
  <sheetViews>
    <sheetView tabSelected="1" topLeftCell="C1" workbookViewId="0">
      <selection activeCell="E7" sqref="E7"/>
    </sheetView>
  </sheetViews>
  <sheetFormatPr defaultRowHeight="15" x14ac:dyDescent="0.25"/>
  <cols>
    <col min="1" max="1" width="12" bestFit="1" customWidth="1"/>
    <col min="2" max="2" width="16" bestFit="1" customWidth="1"/>
    <col min="3" max="3" width="14.85546875" bestFit="1" customWidth="1"/>
    <col min="4" max="4" width="20.7109375" bestFit="1" customWidth="1"/>
    <col min="5" max="5" width="20.42578125" bestFit="1" customWidth="1"/>
    <col min="6" max="6" width="17" bestFit="1" customWidth="1"/>
    <col min="7" max="7" width="20.42578125" bestFit="1" customWidth="1"/>
    <col min="8" max="8" width="19.42578125" bestFit="1" customWidth="1"/>
    <col min="10" max="10" width="9.140625" customWidth="1"/>
    <col min="39" max="39" width="9.140625" customWidth="1"/>
  </cols>
  <sheetData>
    <row r="2" spans="1:8" x14ac:dyDescent="0.25">
      <c r="A2" s="20" t="s">
        <v>0</v>
      </c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</row>
    <row r="3" spans="1:8" ht="60" x14ac:dyDescent="0.25">
      <c r="A3" s="18" t="s">
        <v>8</v>
      </c>
      <c r="B3" s="19" t="s">
        <v>9</v>
      </c>
      <c r="C3" s="19" t="s">
        <v>10</v>
      </c>
      <c r="D3" s="19" t="s">
        <v>11</v>
      </c>
      <c r="E3" s="19" t="s">
        <v>12</v>
      </c>
      <c r="F3" s="19" t="s">
        <v>13</v>
      </c>
      <c r="G3" s="19" t="s">
        <v>14</v>
      </c>
      <c r="H3" s="19" t="s">
        <v>15</v>
      </c>
    </row>
    <row r="4" spans="1:8" ht="90" x14ac:dyDescent="0.25">
      <c r="A4" s="16" t="s">
        <v>16</v>
      </c>
      <c r="B4" s="17" t="s">
        <v>9</v>
      </c>
      <c r="C4" s="17" t="s">
        <v>17</v>
      </c>
      <c r="D4" s="17" t="s">
        <v>18</v>
      </c>
      <c r="E4" s="17" t="s">
        <v>12</v>
      </c>
      <c r="F4" s="17" t="s">
        <v>19</v>
      </c>
      <c r="G4" s="17" t="s">
        <v>20</v>
      </c>
      <c r="H4" s="17" t="s">
        <v>21</v>
      </c>
    </row>
    <row r="5" spans="1:8" ht="105" x14ac:dyDescent="0.25">
      <c r="A5" s="16" t="s">
        <v>22</v>
      </c>
      <c r="B5" s="17" t="s">
        <v>9</v>
      </c>
      <c r="C5" s="17" t="s">
        <v>23</v>
      </c>
      <c r="D5" s="17" t="s">
        <v>24</v>
      </c>
      <c r="E5" s="17" t="s">
        <v>12</v>
      </c>
      <c r="F5" s="17" t="s">
        <v>25</v>
      </c>
      <c r="G5" s="17" t="s">
        <v>41</v>
      </c>
      <c r="H5" s="17" t="s">
        <v>26</v>
      </c>
    </row>
    <row r="6" spans="1:8" ht="75" x14ac:dyDescent="0.25">
      <c r="A6" s="16" t="s">
        <v>22</v>
      </c>
      <c r="B6" s="17" t="s">
        <v>27</v>
      </c>
      <c r="C6" s="17" t="s">
        <v>28</v>
      </c>
      <c r="D6" s="17" t="s">
        <v>29</v>
      </c>
      <c r="E6" s="17" t="s">
        <v>30</v>
      </c>
      <c r="F6" s="17" t="s">
        <v>31</v>
      </c>
      <c r="G6" s="17" t="s">
        <v>32</v>
      </c>
      <c r="H6" s="17" t="s">
        <v>33</v>
      </c>
    </row>
    <row r="7" spans="1:8" ht="90" x14ac:dyDescent="0.25">
      <c r="A7" s="16" t="s">
        <v>34</v>
      </c>
      <c r="B7" s="17" t="s">
        <v>27</v>
      </c>
      <c r="C7" s="17" t="s">
        <v>35</v>
      </c>
      <c r="D7" s="17" t="s">
        <v>36</v>
      </c>
      <c r="E7" s="17" t="s">
        <v>37</v>
      </c>
      <c r="F7" s="17" t="s">
        <v>38</v>
      </c>
      <c r="G7" s="17" t="s">
        <v>39</v>
      </c>
      <c r="H7" s="17" t="s">
        <v>40</v>
      </c>
    </row>
    <row r="8" spans="1:8" ht="90" x14ac:dyDescent="0.25">
      <c r="A8" s="16" t="s">
        <v>16</v>
      </c>
      <c r="B8" s="17" t="s">
        <v>42</v>
      </c>
      <c r="C8" s="17" t="s">
        <v>43</v>
      </c>
      <c r="D8" s="17" t="s">
        <v>44</v>
      </c>
      <c r="E8" s="17" t="s">
        <v>12</v>
      </c>
      <c r="F8" s="17" t="s">
        <v>45</v>
      </c>
      <c r="G8" s="17" t="s">
        <v>46</v>
      </c>
      <c r="H8" s="17" t="s">
        <v>47</v>
      </c>
    </row>
    <row r="9" spans="1:8" ht="90" x14ac:dyDescent="0.25">
      <c r="A9" s="16" t="s">
        <v>48</v>
      </c>
      <c r="B9" s="17" t="s">
        <v>49</v>
      </c>
      <c r="C9" s="17" t="s">
        <v>50</v>
      </c>
      <c r="D9" s="17" t="s">
        <v>51</v>
      </c>
      <c r="E9" s="17" t="s">
        <v>52</v>
      </c>
      <c r="F9" s="17" t="s">
        <v>53</v>
      </c>
      <c r="G9" s="17" t="s">
        <v>54</v>
      </c>
      <c r="H9" s="17" t="s">
        <v>55</v>
      </c>
    </row>
    <row r="10" spans="1:8" ht="97.5" customHeight="1" x14ac:dyDescent="0.25">
      <c r="A10" s="16" t="s">
        <v>56</v>
      </c>
      <c r="B10" s="17" t="s">
        <v>49</v>
      </c>
      <c r="C10" s="17" t="s">
        <v>57</v>
      </c>
      <c r="D10" s="17" t="s">
        <v>58</v>
      </c>
      <c r="E10" s="17" t="s">
        <v>59</v>
      </c>
      <c r="F10" s="17" t="s">
        <v>60</v>
      </c>
      <c r="G10" s="17" t="s">
        <v>61</v>
      </c>
      <c r="H10" s="17" t="s">
        <v>62</v>
      </c>
    </row>
    <row r="11" spans="1:8" ht="150" x14ac:dyDescent="0.25">
      <c r="A11" s="16" t="s">
        <v>63</v>
      </c>
      <c r="B11" s="17" t="s">
        <v>64</v>
      </c>
      <c r="C11" s="17" t="s">
        <v>65</v>
      </c>
      <c r="D11" s="17" t="s">
        <v>66</v>
      </c>
      <c r="E11" s="17" t="s">
        <v>67</v>
      </c>
      <c r="F11" s="17" t="s">
        <v>68</v>
      </c>
      <c r="G11" s="17" t="s">
        <v>130</v>
      </c>
      <c r="H11" s="17" t="s">
        <v>69</v>
      </c>
    </row>
    <row r="12" spans="1:8" ht="90" x14ac:dyDescent="0.25">
      <c r="A12" s="16" t="s">
        <v>70</v>
      </c>
      <c r="B12" s="17" t="s">
        <v>27</v>
      </c>
      <c r="C12" s="17" t="s">
        <v>71</v>
      </c>
      <c r="D12" s="17" t="s">
        <v>72</v>
      </c>
      <c r="E12" s="17" t="s">
        <v>73</v>
      </c>
      <c r="F12" s="17" t="s">
        <v>74</v>
      </c>
      <c r="G12" s="17" t="s">
        <v>75</v>
      </c>
      <c r="H12" s="17" t="s">
        <v>76</v>
      </c>
    </row>
    <row r="13" spans="1:8" ht="75" x14ac:dyDescent="0.25">
      <c r="A13" s="16" t="s">
        <v>16</v>
      </c>
      <c r="B13" s="17" t="s">
        <v>77</v>
      </c>
      <c r="C13" s="17" t="s">
        <v>78</v>
      </c>
      <c r="D13" s="17" t="s">
        <v>132</v>
      </c>
      <c r="E13" s="17" t="s">
        <v>79</v>
      </c>
      <c r="F13" s="17" t="s">
        <v>80</v>
      </c>
      <c r="G13" s="17" t="s">
        <v>81</v>
      </c>
      <c r="H13" s="17" t="s">
        <v>82</v>
      </c>
    </row>
    <row r="14" spans="1:8" ht="75" x14ac:dyDescent="0.25">
      <c r="A14" s="16" t="s">
        <v>8</v>
      </c>
      <c r="B14" s="17" t="s">
        <v>83</v>
      </c>
      <c r="C14" s="17" t="s">
        <v>84</v>
      </c>
      <c r="D14" s="17" t="s">
        <v>131</v>
      </c>
      <c r="E14" s="17" t="s">
        <v>79</v>
      </c>
      <c r="F14" s="17" t="s">
        <v>85</v>
      </c>
      <c r="G14" s="17" t="s">
        <v>86</v>
      </c>
      <c r="H14" s="17" t="s">
        <v>87</v>
      </c>
    </row>
    <row r="17" spans="1:6" ht="28.5" x14ac:dyDescent="0.25">
      <c r="D17" s="5" t="s">
        <v>0</v>
      </c>
      <c r="E17" s="5" t="s">
        <v>88</v>
      </c>
      <c r="F17" s="5" t="s">
        <v>3</v>
      </c>
    </row>
    <row r="18" spans="1:6" ht="30" x14ac:dyDescent="0.25">
      <c r="D18" s="6" t="s">
        <v>8</v>
      </c>
      <c r="E18" s="7" t="s">
        <v>89</v>
      </c>
      <c r="F18" s="7" t="s">
        <v>90</v>
      </c>
    </row>
    <row r="19" spans="1:6" x14ac:dyDescent="0.25">
      <c r="D19" s="6" t="s">
        <v>16</v>
      </c>
      <c r="E19" s="7" t="s">
        <v>91</v>
      </c>
      <c r="F19" s="7" t="s">
        <v>92</v>
      </c>
    </row>
    <row r="20" spans="1:6" ht="30" x14ac:dyDescent="0.25">
      <c r="D20" s="6" t="s">
        <v>63</v>
      </c>
      <c r="E20" s="7" t="s">
        <v>93</v>
      </c>
      <c r="F20" s="7" t="s">
        <v>94</v>
      </c>
    </row>
    <row r="21" spans="1:6" x14ac:dyDescent="0.25">
      <c r="D21" s="6" t="s">
        <v>16</v>
      </c>
      <c r="E21" s="7" t="s">
        <v>95</v>
      </c>
      <c r="F21" s="7" t="s">
        <v>96</v>
      </c>
    </row>
    <row r="28" spans="1:6" x14ac:dyDescent="0.25">
      <c r="D28" s="5" t="s">
        <v>111</v>
      </c>
      <c r="E28" s="5" t="s">
        <v>112</v>
      </c>
    </row>
    <row r="29" spans="1:6" ht="45" x14ac:dyDescent="0.25">
      <c r="D29" s="6" t="s">
        <v>113</v>
      </c>
      <c r="E29" s="7" t="s">
        <v>114</v>
      </c>
    </row>
    <row r="30" spans="1:6" ht="105" x14ac:dyDescent="0.25">
      <c r="A30" s="1"/>
      <c r="B30" s="1"/>
      <c r="D30" s="6" t="s">
        <v>115</v>
      </c>
      <c r="E30" s="7" t="s">
        <v>116</v>
      </c>
    </row>
    <row r="31" spans="1:6" x14ac:dyDescent="0.25">
      <c r="A31" s="2"/>
      <c r="B31" s="2"/>
    </row>
    <row r="36" spans="1:2" x14ac:dyDescent="0.25">
      <c r="A36" s="2"/>
      <c r="B36" s="2"/>
    </row>
    <row r="38" spans="1:2" x14ac:dyDescent="0.25">
      <c r="A38" s="3"/>
    </row>
    <row r="50" spans="1:1" ht="19.5" x14ac:dyDescent="0.3">
      <c r="A50" s="9"/>
    </row>
    <row r="51" spans="1:1" ht="19.5" x14ac:dyDescent="0.3">
      <c r="A51" s="9"/>
    </row>
    <row r="57" spans="1:1" x14ac:dyDescent="0.25">
      <c r="A57" s="10"/>
    </row>
    <row r="58" spans="1:1" ht="19.5" x14ac:dyDescent="0.3">
      <c r="A58" s="9"/>
    </row>
    <row r="59" spans="1:1" ht="19.5" x14ac:dyDescent="0.3">
      <c r="A59" s="9"/>
    </row>
    <row r="61" spans="1:1" ht="23.25" x14ac:dyDescent="0.25">
      <c r="A61" s="8"/>
    </row>
    <row r="72" spans="1:2" ht="23.25" x14ac:dyDescent="0.25">
      <c r="A72" s="8"/>
    </row>
    <row r="74" spans="1:2" x14ac:dyDescent="0.25">
      <c r="A74" s="1"/>
      <c r="B74" s="1"/>
    </row>
    <row r="75" spans="1:2" x14ac:dyDescent="0.25">
      <c r="A75" s="2"/>
      <c r="B75" s="11"/>
    </row>
    <row r="76" spans="1:2" x14ac:dyDescent="0.25">
      <c r="A76" s="2"/>
      <c r="B76" s="11"/>
    </row>
    <row r="77" spans="1:2" x14ac:dyDescent="0.25">
      <c r="A77" s="2"/>
      <c r="B77" s="11"/>
    </row>
    <row r="78" spans="1:2" x14ac:dyDescent="0.25">
      <c r="A78" s="2"/>
      <c r="B78" s="11"/>
    </row>
    <row r="79" spans="1:2" x14ac:dyDescent="0.25">
      <c r="A79" s="2"/>
      <c r="B79" s="11"/>
    </row>
    <row r="82" spans="1:8" ht="23.25" x14ac:dyDescent="0.25">
      <c r="A82" s="8"/>
    </row>
    <row r="84" spans="1:8" x14ac:dyDescent="0.25">
      <c r="A84" s="1"/>
      <c r="B84" s="1"/>
    </row>
    <row r="85" spans="1:8" x14ac:dyDescent="0.25">
      <c r="A85" s="2"/>
      <c r="B85" s="11"/>
    </row>
    <row r="86" spans="1:8" x14ac:dyDescent="0.25">
      <c r="A86" s="2"/>
      <c r="B86" s="11"/>
    </row>
    <row r="87" spans="1:8" x14ac:dyDescent="0.25">
      <c r="A87" s="2"/>
      <c r="B87" s="11"/>
    </row>
    <row r="88" spans="1:8" x14ac:dyDescent="0.25">
      <c r="A88" s="2"/>
      <c r="B88" s="11"/>
    </row>
    <row r="91" spans="1:8" ht="23.25" x14ac:dyDescent="0.25">
      <c r="A91" s="8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2"/>
      <c r="B94" s="2"/>
      <c r="C94" s="2"/>
      <c r="D94" s="4"/>
      <c r="E94" s="2"/>
      <c r="F94" s="2"/>
      <c r="G94" s="2"/>
      <c r="H94" s="2"/>
    </row>
    <row r="95" spans="1:8" x14ac:dyDescent="0.25">
      <c r="A95" s="2"/>
      <c r="B95" s="2"/>
      <c r="C95" s="2"/>
      <c r="D95" s="4"/>
      <c r="E95" s="2"/>
      <c r="F95" s="2"/>
      <c r="G95" s="2"/>
      <c r="H95" s="2"/>
    </row>
    <row r="98" spans="1:2" ht="23.25" x14ac:dyDescent="0.25">
      <c r="A98" s="8"/>
    </row>
    <row r="100" spans="1:2" x14ac:dyDescent="0.25">
      <c r="A100" s="1"/>
      <c r="B100" s="1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4"/>
      <c r="B106" s="4"/>
    </row>
    <row r="108" spans="1:2" x14ac:dyDescent="0.25">
      <c r="A108" s="3"/>
    </row>
    <row r="112" spans="1:2" ht="23.25" x14ac:dyDescent="0.25">
      <c r="A112" s="8"/>
    </row>
    <row r="114" spans="1:3" x14ac:dyDescent="0.25">
      <c r="A114" s="3"/>
    </row>
    <row r="116" spans="1:3" x14ac:dyDescent="0.25">
      <c r="A116" s="1"/>
      <c r="B116" s="1"/>
      <c r="C116" s="1"/>
    </row>
    <row r="117" spans="1:3" x14ac:dyDescent="0.25">
      <c r="A117" s="2"/>
      <c r="B117" s="2"/>
      <c r="C117" s="2"/>
    </row>
    <row r="118" spans="1:3" x14ac:dyDescent="0.25">
      <c r="A118" s="2"/>
      <c r="B118" s="2"/>
      <c r="C118" s="2"/>
    </row>
    <row r="119" spans="1:3" x14ac:dyDescent="0.25">
      <c r="A119" s="2"/>
      <c r="B119" s="2"/>
      <c r="C119" s="2"/>
    </row>
    <row r="120" spans="1:3" x14ac:dyDescent="0.25">
      <c r="A120" s="2"/>
      <c r="B120" s="2"/>
      <c r="C120" s="2"/>
    </row>
    <row r="128" spans="1:3" ht="19.5" x14ac:dyDescent="0.3">
      <c r="A128" s="9"/>
    </row>
    <row r="129" spans="1:1" ht="19.5" x14ac:dyDescent="0.3">
      <c r="A129" s="9"/>
    </row>
    <row r="131" spans="1:1" ht="23.25" x14ac:dyDescent="0.25">
      <c r="A131" s="8"/>
    </row>
    <row r="135" spans="1:1" x14ac:dyDescent="0.25">
      <c r="A135" s="10"/>
    </row>
    <row r="136" spans="1:1" ht="19.5" x14ac:dyDescent="0.3">
      <c r="A136" s="9"/>
    </row>
    <row r="137" spans="1:1" ht="19.5" x14ac:dyDescent="0.3">
      <c r="A137" s="9"/>
    </row>
    <row r="139" spans="1:1" ht="23.25" x14ac:dyDescent="0.25">
      <c r="A139" s="8"/>
    </row>
    <row r="145" spans="1:2" ht="23.25" x14ac:dyDescent="0.25">
      <c r="A145" s="8"/>
    </row>
    <row r="151" spans="1:2" ht="18" x14ac:dyDescent="0.25">
      <c r="A151" s="12"/>
    </row>
    <row r="155" spans="1:2" x14ac:dyDescent="0.25">
      <c r="A155" s="3"/>
    </row>
    <row r="157" spans="1:2" x14ac:dyDescent="0.25">
      <c r="A157" s="1"/>
      <c r="B157" s="1"/>
    </row>
    <row r="158" spans="1:2" x14ac:dyDescent="0.25">
      <c r="A158" s="4"/>
      <c r="B158" s="2"/>
    </row>
    <row r="159" spans="1:2" x14ac:dyDescent="0.25">
      <c r="A159" s="4"/>
      <c r="B159" s="2"/>
    </row>
    <row r="160" spans="1:2" x14ac:dyDescent="0.25">
      <c r="A160" s="4"/>
      <c r="B160" s="2"/>
    </row>
    <row r="163" spans="1:5" ht="18" x14ac:dyDescent="0.25">
      <c r="A163" s="12"/>
    </row>
    <row r="167" spans="1:5" x14ac:dyDescent="0.25">
      <c r="A167" s="1"/>
      <c r="B167" s="1"/>
      <c r="C167" s="1"/>
      <c r="D167" s="1"/>
      <c r="E167" s="1"/>
    </row>
    <row r="168" spans="1:5" x14ac:dyDescent="0.25">
      <c r="A168" s="2"/>
      <c r="B168" s="2"/>
      <c r="C168" s="2"/>
      <c r="D168" s="2"/>
      <c r="E168" s="2"/>
    </row>
    <row r="169" spans="1:5" x14ac:dyDescent="0.25">
      <c r="A169" s="2"/>
      <c r="B169" s="2"/>
      <c r="C169" s="2"/>
      <c r="D169" s="2"/>
      <c r="E169" s="2"/>
    </row>
    <row r="170" spans="1:5" x14ac:dyDescent="0.25">
      <c r="A170" s="2"/>
      <c r="B170" s="2"/>
      <c r="C170" s="2"/>
      <c r="D170" s="2"/>
      <c r="E170" s="2"/>
    </row>
    <row r="171" spans="1:5" x14ac:dyDescent="0.25">
      <c r="A171" s="2"/>
      <c r="B171" s="2"/>
      <c r="C171" s="2"/>
      <c r="D171" s="2"/>
      <c r="E171" s="2"/>
    </row>
    <row r="172" spans="1:5" x14ac:dyDescent="0.25">
      <c r="A172" s="2"/>
      <c r="B172" s="2"/>
      <c r="C172" s="2"/>
      <c r="D172" s="2"/>
      <c r="E172" s="2"/>
    </row>
    <row r="173" spans="1:5" x14ac:dyDescent="0.25">
      <c r="A173" s="2"/>
      <c r="B173" s="2"/>
      <c r="C173" s="2"/>
      <c r="D173" s="2"/>
      <c r="E173" s="2"/>
    </row>
    <row r="174" spans="1:5" x14ac:dyDescent="0.25">
      <c r="A174" s="2"/>
      <c r="B174" s="2"/>
      <c r="C174" s="2"/>
      <c r="D174" s="2"/>
      <c r="E174" s="2"/>
    </row>
    <row r="175" spans="1:5" x14ac:dyDescent="0.25">
      <c r="A175" s="2"/>
      <c r="B175" s="2"/>
      <c r="C175" s="2"/>
      <c r="D175" s="2"/>
      <c r="E175" s="2"/>
    </row>
    <row r="178" spans="1:3" ht="18" x14ac:dyDescent="0.25">
      <c r="A178" s="12"/>
    </row>
    <row r="184" spans="1:3" x14ac:dyDescent="0.25">
      <c r="A184" s="13"/>
    </row>
    <row r="188" spans="1:3" x14ac:dyDescent="0.25">
      <c r="A188" s="3"/>
    </row>
    <row r="190" spans="1:3" x14ac:dyDescent="0.25">
      <c r="A190" s="1"/>
      <c r="B190" s="1"/>
      <c r="C190" s="1"/>
    </row>
    <row r="191" spans="1:3" x14ac:dyDescent="0.25">
      <c r="A191" s="2"/>
      <c r="B191" s="2"/>
      <c r="C191" s="2"/>
    </row>
    <row r="192" spans="1:3" x14ac:dyDescent="0.25">
      <c r="A192" s="2"/>
      <c r="B192" s="2"/>
      <c r="C192" s="2"/>
    </row>
    <row r="193" spans="1:3" x14ac:dyDescent="0.25">
      <c r="A193" s="2"/>
      <c r="B193" s="2"/>
      <c r="C193" s="2"/>
    </row>
    <row r="194" spans="1:3" x14ac:dyDescent="0.25">
      <c r="A194" s="2"/>
      <c r="B194" s="2"/>
      <c r="C194" s="2"/>
    </row>
    <row r="195" spans="1:3" x14ac:dyDescent="0.25">
      <c r="A195" s="2"/>
      <c r="B195" s="2"/>
      <c r="C195" s="2"/>
    </row>
    <row r="196" spans="1:3" x14ac:dyDescent="0.25">
      <c r="A196" s="2"/>
      <c r="B196" s="2"/>
      <c r="C196" s="2"/>
    </row>
    <row r="197" spans="1:3" x14ac:dyDescent="0.25">
      <c r="A197" s="2"/>
      <c r="B197" s="2"/>
      <c r="C197" s="2"/>
    </row>
    <row r="198" spans="1:3" x14ac:dyDescent="0.25">
      <c r="A198" s="2"/>
      <c r="B198" s="2"/>
      <c r="C198" s="2"/>
    </row>
    <row r="201" spans="1:3" ht="18" x14ac:dyDescent="0.25">
      <c r="A201" s="12"/>
    </row>
    <row r="205" spans="1:3" x14ac:dyDescent="0.25">
      <c r="A205" s="13"/>
    </row>
    <row r="209" spans="1:1" ht="23.25" x14ac:dyDescent="0.25">
      <c r="A209" s="8"/>
    </row>
    <row r="210" spans="1:1" x14ac:dyDescent="0.25">
      <c r="A210" s="14"/>
    </row>
    <row r="211" spans="1:1" x14ac:dyDescent="0.25">
      <c r="A211" s="14"/>
    </row>
    <row r="212" spans="1:1" x14ac:dyDescent="0.25">
      <c r="A212" s="14"/>
    </row>
    <row r="213" spans="1:1" x14ac:dyDescent="0.25">
      <c r="A213" s="14"/>
    </row>
    <row r="214" spans="1:1" x14ac:dyDescent="0.25">
      <c r="A214" s="14"/>
    </row>
    <row r="218" spans="1:1" ht="19.5" x14ac:dyDescent="0.3">
      <c r="A218" s="9"/>
    </row>
    <row r="219" spans="1:1" ht="19.5" x14ac:dyDescent="0.3">
      <c r="A219" s="9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7C160-67CC-4953-AE21-837D0F27CCD6}">
  <dimension ref="A2:G10"/>
  <sheetViews>
    <sheetView workbookViewId="0">
      <selection activeCell="G7" sqref="G7"/>
    </sheetView>
  </sheetViews>
  <sheetFormatPr defaultRowHeight="15" x14ac:dyDescent="0.25"/>
  <cols>
    <col min="1" max="1" width="12.42578125" customWidth="1"/>
    <col min="2" max="2" width="28.140625" customWidth="1"/>
    <col min="3" max="3" width="27.42578125" customWidth="1"/>
    <col min="4" max="4" width="27.5703125" customWidth="1"/>
    <col min="5" max="5" width="69.85546875" bestFit="1" customWidth="1"/>
    <col min="6" max="6" width="21" bestFit="1" customWidth="1"/>
    <col min="7" max="7" width="17.28515625" bestFit="1" customWidth="1"/>
  </cols>
  <sheetData>
    <row r="2" spans="1:7" ht="28.5" x14ac:dyDescent="0.25">
      <c r="A2" s="5" t="s">
        <v>0</v>
      </c>
      <c r="B2" s="5" t="s">
        <v>100</v>
      </c>
      <c r="C2" s="5" t="s">
        <v>97</v>
      </c>
      <c r="D2" s="5" t="s">
        <v>98</v>
      </c>
      <c r="E2" s="5" t="s">
        <v>99</v>
      </c>
      <c r="F2" s="5" t="s">
        <v>109</v>
      </c>
      <c r="G2" s="5" t="s">
        <v>110</v>
      </c>
    </row>
    <row r="3" spans="1:7" x14ac:dyDescent="0.25">
      <c r="A3" s="6" t="s">
        <v>16</v>
      </c>
      <c r="B3" s="7">
        <v>5</v>
      </c>
      <c r="C3" s="7">
        <v>4</v>
      </c>
      <c r="D3" s="7">
        <v>4</v>
      </c>
      <c r="E3" s="7" t="s">
        <v>101</v>
      </c>
      <c r="F3" s="15">
        <f>ROUND((B3*0.4)+(C3*0.3)+(D3*0.3),1)</f>
        <v>4.4000000000000004</v>
      </c>
      <c r="G3" s="7" t="str">
        <f>IF(F3&gt;=4,"🔴 Critical",IF(F3&gt;=3,"🟠 High",IF(F3&gt;=2,"🟡 Moderate","🟢 Low")))</f>
        <v>🔴 Critical</v>
      </c>
    </row>
    <row r="4" spans="1:7" x14ac:dyDescent="0.25">
      <c r="A4" s="6" t="s">
        <v>22</v>
      </c>
      <c r="B4" s="7">
        <v>5</v>
      </c>
      <c r="C4" s="7">
        <v>5</v>
      </c>
      <c r="D4" s="7">
        <v>5</v>
      </c>
      <c r="E4" s="7" t="s">
        <v>102</v>
      </c>
      <c r="F4" s="15">
        <f t="shared" ref="F4:F10" si="0">ROUND((B4*0.4)+(C4*0.3)+(D4*0.3),1)</f>
        <v>5</v>
      </c>
      <c r="G4" s="7" t="str">
        <f t="shared" ref="G4:G10" si="1">IF(F4&gt;=4,"🔴 Critical",IF(F4&gt;=3,"🟠 High",IF(F4&gt;=2,"🟡 Moderate","🟢 Low")))</f>
        <v>🔴 Critical</v>
      </c>
    </row>
    <row r="5" spans="1:7" x14ac:dyDescent="0.25">
      <c r="A5" s="6" t="s">
        <v>63</v>
      </c>
      <c r="B5" s="7">
        <v>4</v>
      </c>
      <c r="C5" s="7">
        <v>4</v>
      </c>
      <c r="D5" s="7">
        <v>3</v>
      </c>
      <c r="E5" s="7" t="s">
        <v>103</v>
      </c>
      <c r="F5" s="15">
        <f t="shared" si="0"/>
        <v>3.7</v>
      </c>
      <c r="G5" s="7" t="str">
        <f t="shared" si="1"/>
        <v>🟠 High</v>
      </c>
    </row>
    <row r="6" spans="1:7" x14ac:dyDescent="0.25">
      <c r="A6" s="6" t="s">
        <v>8</v>
      </c>
      <c r="B6" s="7">
        <v>3</v>
      </c>
      <c r="C6" s="7">
        <v>3</v>
      </c>
      <c r="D6" s="7">
        <v>3</v>
      </c>
      <c r="E6" s="7" t="s">
        <v>104</v>
      </c>
      <c r="F6" s="15">
        <f t="shared" si="0"/>
        <v>3</v>
      </c>
      <c r="G6" s="7" t="str">
        <f t="shared" si="1"/>
        <v>🟠 High</v>
      </c>
    </row>
    <row r="7" spans="1:7" x14ac:dyDescent="0.25">
      <c r="A7" s="6" t="s">
        <v>48</v>
      </c>
      <c r="B7" s="7">
        <v>4</v>
      </c>
      <c r="C7" s="7">
        <v>3</v>
      </c>
      <c r="D7" s="7">
        <v>3</v>
      </c>
      <c r="E7" s="7" t="s">
        <v>105</v>
      </c>
      <c r="F7" s="15">
        <f t="shared" si="0"/>
        <v>3.4</v>
      </c>
      <c r="G7" s="7" t="str">
        <f t="shared" si="1"/>
        <v>🟠 High</v>
      </c>
    </row>
    <row r="8" spans="1:7" x14ac:dyDescent="0.25">
      <c r="A8" s="6" t="s">
        <v>56</v>
      </c>
      <c r="B8" s="7">
        <v>2</v>
      </c>
      <c r="C8" s="7">
        <v>2</v>
      </c>
      <c r="D8" s="7">
        <v>2</v>
      </c>
      <c r="E8" s="7" t="s">
        <v>106</v>
      </c>
      <c r="F8" s="15">
        <f t="shared" si="0"/>
        <v>2</v>
      </c>
      <c r="G8" s="7" t="str">
        <f t="shared" si="1"/>
        <v>🟡 Moderate</v>
      </c>
    </row>
    <row r="9" spans="1:7" x14ac:dyDescent="0.25">
      <c r="A9" s="6" t="s">
        <v>70</v>
      </c>
      <c r="B9" s="7">
        <v>2</v>
      </c>
      <c r="C9" s="7">
        <v>3</v>
      </c>
      <c r="D9" s="7">
        <v>2</v>
      </c>
      <c r="E9" s="7" t="s">
        <v>107</v>
      </c>
      <c r="F9" s="15">
        <f t="shared" si="0"/>
        <v>2.2999999999999998</v>
      </c>
      <c r="G9" s="7" t="str">
        <f t="shared" si="1"/>
        <v>🟡 Moderate</v>
      </c>
    </row>
    <row r="10" spans="1:7" x14ac:dyDescent="0.25">
      <c r="A10" s="6" t="s">
        <v>34</v>
      </c>
      <c r="B10" s="7">
        <v>1</v>
      </c>
      <c r="C10" s="7">
        <v>1</v>
      </c>
      <c r="D10" s="7">
        <v>2</v>
      </c>
      <c r="E10" s="7" t="s">
        <v>108</v>
      </c>
      <c r="F10" s="15">
        <f t="shared" si="0"/>
        <v>1.3</v>
      </c>
      <c r="G10" s="7" t="str">
        <f t="shared" si="1"/>
        <v>🟢 Low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B4E2C-3562-4D3D-8917-DD1DD17A263E}">
  <dimension ref="A2:F14"/>
  <sheetViews>
    <sheetView workbookViewId="0">
      <selection activeCell="N8" sqref="N8"/>
    </sheetView>
  </sheetViews>
  <sheetFormatPr defaultRowHeight="15" x14ac:dyDescent="0.25"/>
  <cols>
    <col min="1" max="1" width="12.7109375" customWidth="1"/>
    <col min="2" max="2" width="22.85546875" bestFit="1" customWidth="1"/>
    <col min="3" max="3" width="9.85546875" bestFit="1" customWidth="1"/>
    <col min="4" max="4" width="9.7109375" bestFit="1" customWidth="1"/>
    <col min="5" max="5" width="12.7109375" bestFit="1" customWidth="1"/>
    <col min="6" max="6" width="13.85546875" bestFit="1" customWidth="1"/>
  </cols>
  <sheetData>
    <row r="2" spans="1:6" ht="28.5" x14ac:dyDescent="0.25">
      <c r="A2" s="5" t="s">
        <v>0</v>
      </c>
      <c r="B2" s="5" t="s">
        <v>1</v>
      </c>
      <c r="C2" s="5" t="s">
        <v>117</v>
      </c>
      <c r="D2" s="5" t="s">
        <v>118</v>
      </c>
      <c r="E2" s="5" t="s">
        <v>119</v>
      </c>
      <c r="F2" s="5" t="s">
        <v>133</v>
      </c>
    </row>
    <row r="3" spans="1:6" x14ac:dyDescent="0.25">
      <c r="A3" s="6" t="s">
        <v>8</v>
      </c>
      <c r="B3" s="7" t="s">
        <v>113</v>
      </c>
      <c r="C3" s="7">
        <v>3</v>
      </c>
      <c r="D3" s="7" t="s">
        <v>125</v>
      </c>
      <c r="E3" s="7" t="s">
        <v>79</v>
      </c>
      <c r="F3" s="15">
        <v>0</v>
      </c>
    </row>
    <row r="4" spans="1:6" x14ac:dyDescent="0.25">
      <c r="A4" s="6" t="s">
        <v>16</v>
      </c>
      <c r="B4" s="7" t="s">
        <v>113</v>
      </c>
      <c r="C4" s="7">
        <v>4.4000000000000004</v>
      </c>
      <c r="D4" s="7" t="s">
        <v>126</v>
      </c>
      <c r="E4" s="7" t="s">
        <v>129</v>
      </c>
      <c r="F4" s="15">
        <v>725000</v>
      </c>
    </row>
    <row r="5" spans="1:6" x14ac:dyDescent="0.25">
      <c r="A5" s="6" t="s">
        <v>22</v>
      </c>
      <c r="B5" s="7" t="s">
        <v>113</v>
      </c>
      <c r="C5" s="7">
        <v>5</v>
      </c>
      <c r="D5" s="7" t="s">
        <v>126</v>
      </c>
      <c r="E5" s="7" t="s">
        <v>129</v>
      </c>
      <c r="F5" s="15">
        <v>10000</v>
      </c>
    </row>
    <row r="6" spans="1:6" x14ac:dyDescent="0.25">
      <c r="A6" s="6" t="s">
        <v>22</v>
      </c>
      <c r="B6" s="7" t="s">
        <v>120</v>
      </c>
      <c r="C6" s="7">
        <v>5</v>
      </c>
      <c r="D6" s="7" t="s">
        <v>126</v>
      </c>
      <c r="E6" s="7" t="s">
        <v>129</v>
      </c>
      <c r="F6" s="15">
        <v>0</v>
      </c>
    </row>
    <row r="7" spans="1:6" x14ac:dyDescent="0.25">
      <c r="A7" s="6" t="s">
        <v>34</v>
      </c>
      <c r="B7" s="7" t="s">
        <v>120</v>
      </c>
      <c r="C7" s="7">
        <v>1.3</v>
      </c>
      <c r="D7" s="7" t="s">
        <v>127</v>
      </c>
      <c r="E7" s="7" t="s">
        <v>79</v>
      </c>
      <c r="F7" s="15">
        <v>0</v>
      </c>
    </row>
    <row r="8" spans="1:6" x14ac:dyDescent="0.25">
      <c r="A8" s="6" t="s">
        <v>16</v>
      </c>
      <c r="B8" s="7" t="s">
        <v>121</v>
      </c>
      <c r="C8" s="7">
        <v>4.4000000000000004</v>
      </c>
      <c r="D8" s="7" t="s">
        <v>126</v>
      </c>
      <c r="E8" s="7" t="s">
        <v>129</v>
      </c>
      <c r="F8" s="15">
        <v>15000</v>
      </c>
    </row>
    <row r="9" spans="1:6" x14ac:dyDescent="0.25">
      <c r="A9" s="6" t="s">
        <v>48</v>
      </c>
      <c r="B9" s="7" t="s">
        <v>122</v>
      </c>
      <c r="C9" s="7">
        <v>3.4</v>
      </c>
      <c r="D9" s="7" t="s">
        <v>125</v>
      </c>
      <c r="E9" s="7" t="s">
        <v>129</v>
      </c>
      <c r="F9" s="15">
        <v>2000000</v>
      </c>
    </row>
    <row r="10" spans="1:6" x14ac:dyDescent="0.25">
      <c r="A10" s="6" t="s">
        <v>56</v>
      </c>
      <c r="B10" s="7" t="s">
        <v>122</v>
      </c>
      <c r="C10" s="7">
        <v>2</v>
      </c>
      <c r="D10" s="7" t="s">
        <v>128</v>
      </c>
      <c r="E10" s="7" t="s">
        <v>79</v>
      </c>
      <c r="F10" s="15">
        <v>0</v>
      </c>
    </row>
    <row r="11" spans="1:6" x14ac:dyDescent="0.25">
      <c r="A11" s="6" t="s">
        <v>63</v>
      </c>
      <c r="B11" s="7" t="s">
        <v>123</v>
      </c>
      <c r="C11" s="7">
        <v>3.7</v>
      </c>
      <c r="D11" s="7" t="s">
        <v>125</v>
      </c>
      <c r="E11" s="7" t="s">
        <v>129</v>
      </c>
      <c r="F11" s="15">
        <v>420000</v>
      </c>
    </row>
    <row r="12" spans="1:6" x14ac:dyDescent="0.25">
      <c r="A12" s="6" t="s">
        <v>70</v>
      </c>
      <c r="B12" s="7" t="s">
        <v>120</v>
      </c>
      <c r="C12" s="7">
        <v>2.2999999999999998</v>
      </c>
      <c r="D12" s="7" t="s">
        <v>128</v>
      </c>
      <c r="E12" s="7" t="s">
        <v>79</v>
      </c>
      <c r="F12" s="15">
        <v>0</v>
      </c>
    </row>
    <row r="13" spans="1:6" x14ac:dyDescent="0.25">
      <c r="A13" s="6" t="s">
        <v>16</v>
      </c>
      <c r="B13" s="7" t="s">
        <v>124</v>
      </c>
      <c r="C13" s="7">
        <v>4.4000000000000004</v>
      </c>
      <c r="D13" s="7" t="s">
        <v>126</v>
      </c>
      <c r="E13" s="7" t="s">
        <v>79</v>
      </c>
      <c r="F13" s="15">
        <v>0</v>
      </c>
    </row>
    <row r="14" spans="1:6" x14ac:dyDescent="0.25">
      <c r="A14" s="6" t="s">
        <v>8</v>
      </c>
      <c r="B14" s="7" t="s">
        <v>122</v>
      </c>
      <c r="C14" s="7">
        <v>3</v>
      </c>
      <c r="D14" s="7" t="s">
        <v>125</v>
      </c>
      <c r="E14" s="7" t="s">
        <v>79</v>
      </c>
      <c r="F14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Country Regulation Matrix </vt:lpstr>
      <vt:lpstr>Compliance Risk Score</vt:lpstr>
      <vt:lpstr>PowerBI Long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Ayaan Alam</dc:creator>
  <cp:lastModifiedBy>Ayaan Alam</cp:lastModifiedBy>
  <dcterms:created xsi:type="dcterms:W3CDTF">2026-06-24T12:35:03Z</dcterms:created>
  <dcterms:modified xsi:type="dcterms:W3CDTF">2026-06-25T15:51:31Z</dcterms:modified>
</cp:coreProperties>
</file>